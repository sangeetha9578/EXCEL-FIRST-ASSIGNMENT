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809C18-C4AA-4644-9197-E14279DB62B9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42" i="1"/>
  <c r="J43" i="1"/>
  <c r="J44" i="1"/>
  <c r="J4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42" i="1"/>
  <c r="I43" i="1"/>
  <c r="I44" i="1"/>
  <c r="I4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42" i="1"/>
  <c r="H43" i="1"/>
  <c r="H44" i="1"/>
  <c r="H45" i="1"/>
  <c r="B41" i="1"/>
  <c r="B40" i="1"/>
  <c r="G3" i="1"/>
  <c r="G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B39" i="1"/>
  <c r="B38" i="1"/>
  <c r="B36" i="1"/>
  <c r="D36" i="1"/>
  <c r="B37" i="1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<sst xmlns="http://schemas.openxmlformats.org/spreadsheetml/2006/main" count="153" uniqueCount="104">
  <si>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</si>
  <si>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</si>
  <si>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</si>
  <si>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</si>
  <si>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</si>
  <si>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</si>
  <si>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</si>
  <si>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</si>
  <si>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</si>
  <si>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</si>
  <si>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</si>
  <si>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</si>
  <si>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</si>
  <si>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</si>
  <si>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</si>
  <si>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</si>
  <si>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</si>
  <si>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</si>
  <si>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</si>
  <si>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</si>
  <si>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</si>
  <si>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</si>
  <si>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</si>
  <si>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</si>
  <si>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</si>
  <si>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</si>
  <si>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</si>
  <si>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</si>
  <si>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</si>
  <si>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</si>
  <si>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</si>
  <si>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</si>
  <si>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</si>
  <si>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</si>
  <si>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</si>
  <si>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</si>
  <si>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</si>
  <si>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</si>
  <si>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</si>
  <si>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</si>
  <si>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</si>
  <si>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</si>
  <si>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</si>
  <si>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</si>
  <si>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</si>
  <si>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</si>
  <si>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</si>
  <si>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</si>
  <si>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</si>
  <si>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</si>
  <si>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</si>
  <si>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</si>
  <si>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</si>
  <si>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</si>
  <si>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</si>
  <si>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</si>
  <si>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</si>
  <si>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</si>
  <si>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</si>
  <si>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</si>
  <si>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</si>
  <si>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</si>
  <si>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</si>
  <si>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</si>
  <si>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</si>
  <si>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</si>
  <si>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</si>
  <si>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</si>
  <si>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</si>
  <si>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</si>
  <si>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</si>
  <si>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</si>
  <si>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</si>
  <si>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</si>
  <si>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</si>
  <si>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</si>
  <si>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</si>
  <si>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</si>
  <si>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</si>
  <si>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</si>
  <si>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</si>
  <si>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</si>
  <si>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</si>
  <si>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</si>
  <si>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</si>
  <si>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</si>
  <si>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</si>
  <si>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</si>
  <si>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</si>
  <si>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</si>
  <si>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</si>
  <si>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</si>
  <si>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</si>
  <si>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</si>
  <si>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TOTAL PRODUCTS</t>
  </si>
  <si>
    <t>AVERAGE PRICE</t>
  </si>
  <si>
    <t>MIN PRICE</t>
  </si>
  <si>
    <t>MAX PRICE</t>
  </si>
  <si>
    <t>PRICE RANGE</t>
  </si>
  <si>
    <t>ELECTRONICS TOTAL PRICE</t>
  </si>
  <si>
    <t>CHEAP PRODUCTS COUNT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</si>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</sst>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2" fontId="2" fillId="3" borderId="2" xfId="0" applyNumberFormat="1" applyFont="1" applyFill="1" applyBorder="1" applyAlignment="1"/>
    <xf numFmtId="0" fontId="2" fillId="3" borderId="0" xfId="0" applyFont="1" applyFill="1" applyAlignme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91F9F5-2798-4406-B757-1730F48596AD}" name="DATASET" displayName="DATASET" ref="A1:J45" totalsRowShown="0" headerRowDxfId="11" dataDxfId="10">
  <autoFilter ref="A1:J45" xr:uid="{F891F9F5-2798-4406-B757-1730F48596AD}"/>
  <tableColumns count="10">
    <tableColumn id="1" xr3:uid="{831AC967-7C17-4F7F-AE4B-C2339865FBCF}" name="Product ID" dataDxfId="9"/>
    <tableColumn id="2" xr3:uid="{BEA02A9F-4CDC-40C9-847F-360A8EF0CDE0}" name="Product Name" dataDxfId="8"/>
    <tableColumn id="3" xr3:uid="{953C896E-DEA7-49F1-B69A-77FB5E305716}" name="Brand Name" dataDxfId="7"/>
    <tableColumn id="4" xr3:uid="{2CB54AA4-82C2-4079-BD61-BC0262CEFFB0}" name="Price ($)" dataDxfId="6"/>
    <tableColumn id="5" xr3:uid="{A2F15B2E-BD9C-4501-92CA-08AE77A682F2}" name="Quantity" dataDxfId="5"/>
    <tableColumn id="6" xr3:uid="{92FEDFEC-E951-43FC-B598-9AB8057DBEFA}" name="Category" dataDxfId="4"/>
    <tableColumn id="7" xr3:uid="{0B056FDC-D666-432C-9758-506EC1205EF6}" name="PRICE RANGE" dataDxfId="3">
      <calculatedColumnFormula>IF(D2&gt;=500,"High Price","Standard Price")</calculatedColumnFormula>
    </tableColumn>
    <tableColumn id="8" xr3:uid="{BC6F4AE6-F019-477F-9B6D-7536F5E2B940}" name="DAY" dataDxfId="2">
      <calculatedColumnFormula>LEFT(A2,2)</calculatedColumnFormula>
    </tableColumn>
    <tableColumn id="9" xr3:uid="{17260201-F727-4F36-A8E9-B4C04F8366C4}" name="COUNTRY CODE" dataDxfId="1">
      <calculatedColumnFormula>RIGHT(A2,2)</calculatedColumnFormula>
    </tableColumn>
    <tableColumn id="10" xr3:uid="{E457EC1D-7E0D-41A7-A284-0E72210EB7FD}" name="MONTH" dataDxfId="0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B41" sqref="B41"/>
    </sheetView>
  </sheetViews>
  <sheetFormatPr defaultColWidth="12.5703125" defaultRowHeight="15" customHeight="1" x14ac:dyDescent="0.2"/>
  <cols>
    <col min="1" max="1" width="31.7109375" customWidth="1"/>
    <col min="2" max="2" width="19.140625" customWidth="1"/>
    <col min="3" max="3" width="16.85546875" customWidth="1"/>
    <col min="5" max="5" width="16.7109375" customWidth="1"/>
    <col min="6" max="6" width="16" customWidth="1"/>
    <col min="7" max="7" width="23" customWidth="1"/>
    <col min="9" max="9" width="22.42578125" customWidth="1"/>
  </cols>
  <sheetData>
    <row r="1" spans="1:10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98</v>
      </c>
      <c r="H1" s="1" t="s">
        <v>101</v>
      </c>
      <c r="I1" s="1" t="s">
        <v>102</v>
      </c>
      <c r="J1" s="1" t="s">
        <v>103</v>
      </c>
    </row>
    <row r="2" spans="1:10" ht="15.75" customHeight="1" x14ac:dyDescent="0.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3" t="str">
        <f t="shared" ref="G2:G35" si="0">IF(D2&gt;=500,"High Price","Standard Price")</f>
        <v>High Price</v>
      </c>
      <c r="H2" s="7" t="str">
        <f t="shared" ref="H2:H45" si="1">LEFT(A2,2)</f>
        <v>28</v>
      </c>
      <c r="I2" s="7" t="str">
        <f t="shared" ref="I2:I45" si="2">RIGHT(A2,2)</f>
        <v>US</v>
      </c>
      <c r="J2" s="7" t="str">
        <f t="shared" ref="J2:J45" si="3">MID(A2,4,3)</f>
        <v>JAN</v>
      </c>
    </row>
    <row r="3" spans="1:10" ht="15.75" customHeight="1" x14ac:dyDescent="0.2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3" t="str">
        <f t="shared" si="0"/>
        <v>Standard Price</v>
      </c>
      <c r="H3" s="7" t="str">
        <f t="shared" si="1"/>
        <v>15</v>
      </c>
      <c r="I3" s="7" t="str">
        <f t="shared" si="2"/>
        <v>US</v>
      </c>
      <c r="J3" s="7" t="str">
        <f t="shared" si="3"/>
        <v>FEB</v>
      </c>
    </row>
    <row r="4" spans="1:10" ht="15.75" customHeight="1" x14ac:dyDescent="0.2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3" t="str">
        <f t="shared" si="0"/>
        <v>Standard Price</v>
      </c>
      <c r="H4" s="7" t="str">
        <f t="shared" si="1"/>
        <v>03</v>
      </c>
      <c r="I4" s="7" t="str">
        <f t="shared" si="2"/>
        <v>US</v>
      </c>
      <c r="J4" s="7" t="str">
        <f t="shared" si="3"/>
        <v>MAR</v>
      </c>
    </row>
    <row r="5" spans="1:10" ht="15.75" customHeight="1" x14ac:dyDescent="0.2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3" t="str">
        <f t="shared" si="0"/>
        <v>High Price</v>
      </c>
      <c r="H5" s="7" t="str">
        <f t="shared" si="1"/>
        <v>11</v>
      </c>
      <c r="I5" s="7" t="str">
        <f t="shared" si="2"/>
        <v>US</v>
      </c>
      <c r="J5" s="7" t="str">
        <f t="shared" si="3"/>
        <v>APR</v>
      </c>
    </row>
    <row r="6" spans="1:10" ht="15.75" customHeight="1" x14ac:dyDescent="0.2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3" t="str">
        <f t="shared" si="0"/>
        <v>Standard Price</v>
      </c>
      <c r="H6" s="7" t="str">
        <f t="shared" si="1"/>
        <v>22</v>
      </c>
      <c r="I6" s="7" t="str">
        <f t="shared" si="2"/>
        <v>US</v>
      </c>
      <c r="J6" s="7" t="str">
        <f t="shared" si="3"/>
        <v>MAY</v>
      </c>
    </row>
    <row r="7" spans="1:10" ht="15.75" customHeight="1" x14ac:dyDescent="0.2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3" t="str">
        <f t="shared" si="0"/>
        <v>Standard Price</v>
      </c>
      <c r="H7" s="7" t="str">
        <f t="shared" si="1"/>
        <v>07</v>
      </c>
      <c r="I7" s="7" t="str">
        <f t="shared" si="2"/>
        <v>UK</v>
      </c>
      <c r="J7" s="7" t="str">
        <f t="shared" si="3"/>
        <v>JUN</v>
      </c>
    </row>
    <row r="8" spans="1:10" ht="15.75" customHeight="1" x14ac:dyDescent="0.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3" t="str">
        <f t="shared" si="0"/>
        <v>Standard Price</v>
      </c>
      <c r="H8" s="7" t="str">
        <f t="shared" si="1"/>
        <v>19</v>
      </c>
      <c r="I8" s="7" t="str">
        <f t="shared" si="2"/>
        <v>UK</v>
      </c>
      <c r="J8" s="7" t="str">
        <f t="shared" si="3"/>
        <v>JUL</v>
      </c>
    </row>
    <row r="9" spans="1:10" ht="15.75" customHeight="1" x14ac:dyDescent="0.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3" t="str">
        <f t="shared" si="0"/>
        <v>Standard Price</v>
      </c>
      <c r="H9" s="7" t="str">
        <f t="shared" si="1"/>
        <v>23</v>
      </c>
      <c r="I9" s="7" t="str">
        <f t="shared" si="2"/>
        <v>UK</v>
      </c>
      <c r="J9" s="7" t="str">
        <f t="shared" si="3"/>
        <v>AUG</v>
      </c>
    </row>
    <row r="10" spans="1:10" ht="15.75" customHeight="1" x14ac:dyDescent="0.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3" t="str">
        <f t="shared" si="0"/>
        <v>High Price</v>
      </c>
      <c r="H10" s="7" t="str">
        <f t="shared" si="1"/>
        <v>05</v>
      </c>
      <c r="I10" s="7" t="str">
        <f t="shared" si="2"/>
        <v>UK</v>
      </c>
      <c r="J10" s="7" t="str">
        <f t="shared" si="3"/>
        <v>SEP</v>
      </c>
    </row>
    <row r="11" spans="1:10" ht="15.75" customHeight="1" x14ac:dyDescent="0.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3" t="str">
        <f t="shared" si="0"/>
        <v>Standard Price</v>
      </c>
      <c r="H11" s="7" t="str">
        <f t="shared" si="1"/>
        <v>14</v>
      </c>
      <c r="I11" s="7" t="str">
        <f t="shared" si="2"/>
        <v>UK</v>
      </c>
      <c r="J11" s="7" t="str">
        <f t="shared" si="3"/>
        <v>OCT</v>
      </c>
    </row>
    <row r="12" spans="1:10" ht="15.75" customHeight="1" x14ac:dyDescent="0.2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3" t="str">
        <f t="shared" si="0"/>
        <v>High Price</v>
      </c>
      <c r="H12" s="7" t="str">
        <f t="shared" si="1"/>
        <v>17</v>
      </c>
      <c r="I12" s="7" t="str">
        <f t="shared" si="2"/>
        <v>IN</v>
      </c>
      <c r="J12" s="7" t="str">
        <f t="shared" si="3"/>
        <v>JUN</v>
      </c>
    </row>
    <row r="13" spans="1:10" ht="15.75" customHeight="1" x14ac:dyDescent="0.2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3" t="str">
        <f t="shared" si="0"/>
        <v>Standard Price</v>
      </c>
      <c r="H13" s="7" t="str">
        <f t="shared" si="1"/>
        <v>25</v>
      </c>
      <c r="I13" s="7" t="str">
        <f t="shared" si="2"/>
        <v>AU</v>
      </c>
      <c r="J13" s="7" t="str">
        <f t="shared" si="3"/>
        <v>NOV</v>
      </c>
    </row>
    <row r="14" spans="1:10" ht="15.75" customHeight="1" x14ac:dyDescent="0.2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3" t="str">
        <f t="shared" si="0"/>
        <v>Standard Price</v>
      </c>
      <c r="H14" s="7" t="str">
        <f t="shared" si="1"/>
        <v>08</v>
      </c>
      <c r="I14" s="7" t="str">
        <f t="shared" si="2"/>
        <v>DE</v>
      </c>
      <c r="J14" s="7" t="str">
        <f t="shared" si="3"/>
        <v>DEC</v>
      </c>
    </row>
    <row r="15" spans="1:10" ht="15.75" customHeight="1" x14ac:dyDescent="0.2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3" t="str">
        <f t="shared" si="0"/>
        <v>Standard Price</v>
      </c>
      <c r="H15" s="7" t="str">
        <f t="shared" si="1"/>
        <v>18</v>
      </c>
      <c r="I15" s="7" t="str">
        <f t="shared" si="2"/>
        <v>CA</v>
      </c>
      <c r="J15" s="7" t="str">
        <f t="shared" si="3"/>
        <v>FEB</v>
      </c>
    </row>
    <row r="16" spans="1:10" ht="15.75" customHeight="1" x14ac:dyDescent="0.2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3" t="str">
        <f t="shared" si="0"/>
        <v>Standard Price</v>
      </c>
      <c r="H16" s="7" t="str">
        <f t="shared" si="1"/>
        <v>16</v>
      </c>
      <c r="I16" s="7" t="str">
        <f t="shared" si="2"/>
        <v>ES</v>
      </c>
      <c r="J16" s="7" t="str">
        <f t="shared" si="3"/>
        <v>APR</v>
      </c>
    </row>
    <row r="17" spans="1:10" ht="15.75" customHeight="1" x14ac:dyDescent="0.2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3" t="str">
        <f t="shared" si="0"/>
        <v>Standard Price</v>
      </c>
      <c r="H17" s="7" t="str">
        <f t="shared" si="1"/>
        <v>21</v>
      </c>
      <c r="I17" s="7" t="str">
        <f t="shared" si="2"/>
        <v>CA</v>
      </c>
      <c r="J17" s="7" t="str">
        <f t="shared" si="3"/>
        <v>AUG</v>
      </c>
    </row>
    <row r="18" spans="1:10" ht="15.75" customHeight="1" x14ac:dyDescent="0.2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3" t="str">
        <f t="shared" si="0"/>
        <v>Standard Price</v>
      </c>
      <c r="H18" s="7" t="str">
        <f t="shared" si="1"/>
        <v>20</v>
      </c>
      <c r="I18" s="7" t="str">
        <f t="shared" si="2"/>
        <v>CN</v>
      </c>
      <c r="J18" s="7" t="str">
        <f t="shared" si="3"/>
        <v>AUG</v>
      </c>
    </row>
    <row r="19" spans="1:10" ht="15.75" customHeight="1" x14ac:dyDescent="0.2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3" t="str">
        <f t="shared" si="0"/>
        <v>High Price</v>
      </c>
      <c r="H19" s="7" t="str">
        <f t="shared" si="1"/>
        <v>27</v>
      </c>
      <c r="I19" s="7" t="str">
        <f t="shared" si="2"/>
        <v>IT</v>
      </c>
      <c r="J19" s="7" t="str">
        <f t="shared" si="3"/>
        <v>JAN</v>
      </c>
    </row>
    <row r="20" spans="1:10" ht="15.75" customHeight="1" x14ac:dyDescent="0.2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3" t="str">
        <f t="shared" si="0"/>
        <v>Standard Price</v>
      </c>
      <c r="H20" s="7" t="str">
        <f t="shared" si="1"/>
        <v>01</v>
      </c>
      <c r="I20" s="7" t="str">
        <f t="shared" si="2"/>
        <v>UK</v>
      </c>
      <c r="J20" s="7" t="str">
        <f t="shared" si="3"/>
        <v>MAR</v>
      </c>
    </row>
    <row r="21" spans="1:10" ht="15.75" customHeight="1" x14ac:dyDescent="0.2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3" t="str">
        <f t="shared" si="0"/>
        <v>Standard Price</v>
      </c>
      <c r="H21" s="7" t="str">
        <f t="shared" si="1"/>
        <v>14</v>
      </c>
      <c r="I21" s="7" t="str">
        <f t="shared" si="2"/>
        <v>US</v>
      </c>
      <c r="J21" s="7" t="str">
        <f t="shared" si="3"/>
        <v>AUG</v>
      </c>
    </row>
    <row r="22" spans="1:10" ht="15.75" customHeight="1" x14ac:dyDescent="0.2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3" t="str">
        <f t="shared" si="0"/>
        <v>High Price</v>
      </c>
      <c r="H22" s="7" t="str">
        <f t="shared" si="1"/>
        <v>14</v>
      </c>
      <c r="I22" s="7" t="str">
        <f t="shared" si="2"/>
        <v>RU</v>
      </c>
      <c r="J22" s="7" t="str">
        <f t="shared" si="3"/>
        <v>MAY</v>
      </c>
    </row>
    <row r="23" spans="1:10" ht="15.75" customHeight="1" x14ac:dyDescent="0.2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3" t="str">
        <f t="shared" si="0"/>
        <v>Standard Price</v>
      </c>
      <c r="H23" s="7" t="str">
        <f t="shared" si="1"/>
        <v>09</v>
      </c>
      <c r="I23" s="7" t="str">
        <f t="shared" si="2"/>
        <v>CA</v>
      </c>
      <c r="J23" s="7" t="str">
        <f t="shared" si="3"/>
        <v>JAN</v>
      </c>
    </row>
    <row r="24" spans="1:10" ht="15.75" customHeight="1" x14ac:dyDescent="0.2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3" t="str">
        <f t="shared" si="0"/>
        <v>Standard Price</v>
      </c>
      <c r="H24" s="7" t="str">
        <f t="shared" si="1"/>
        <v>19</v>
      </c>
      <c r="I24" s="7" t="str">
        <f t="shared" si="2"/>
        <v>BR</v>
      </c>
      <c r="J24" s="7" t="str">
        <f t="shared" si="3"/>
        <v>JUL</v>
      </c>
    </row>
    <row r="25" spans="1:10" ht="15.75" customHeight="1" x14ac:dyDescent="0.2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7" t="str">
        <f t="shared" si="0"/>
        <v>Standard Price</v>
      </c>
      <c r="H25" s="7" t="str">
        <f t="shared" si="1"/>
        <v>21</v>
      </c>
      <c r="I25" s="7" t="str">
        <f t="shared" si="2"/>
        <v>CA</v>
      </c>
      <c r="J25" s="7" t="str">
        <f t="shared" si="3"/>
        <v>AUG</v>
      </c>
    </row>
    <row r="26" spans="1:10" ht="15.75" customHeight="1" x14ac:dyDescent="0.2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3" t="str">
        <f t="shared" si="0"/>
        <v>High Price</v>
      </c>
      <c r="H26" s="7" t="str">
        <f t="shared" si="1"/>
        <v>29</v>
      </c>
      <c r="I26" s="7" t="str">
        <f t="shared" si="2"/>
        <v>CA</v>
      </c>
      <c r="J26" s="7" t="str">
        <f t="shared" si="3"/>
        <v>SEP</v>
      </c>
    </row>
    <row r="27" spans="1:10" ht="15.75" customHeight="1" x14ac:dyDescent="0.2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3" t="str">
        <f t="shared" si="0"/>
        <v>Standard Price</v>
      </c>
      <c r="H27" s="7" t="str">
        <f t="shared" si="1"/>
        <v>03</v>
      </c>
      <c r="I27" s="7" t="str">
        <f t="shared" si="2"/>
        <v>CA</v>
      </c>
      <c r="J27" s="7" t="str">
        <f t="shared" si="3"/>
        <v>JUN</v>
      </c>
    </row>
    <row r="28" spans="1:10" ht="15.75" customHeight="1" x14ac:dyDescent="0.2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3" t="str">
        <f t="shared" si="0"/>
        <v>Standard Price</v>
      </c>
      <c r="H28" s="7" t="str">
        <f t="shared" si="1"/>
        <v>11</v>
      </c>
      <c r="I28" s="7" t="str">
        <f t="shared" si="2"/>
        <v>CA</v>
      </c>
      <c r="J28" s="7" t="str">
        <f t="shared" si="3"/>
        <v>JUL</v>
      </c>
    </row>
    <row r="29" spans="1:10" ht="15.75" customHeight="1" x14ac:dyDescent="0.2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7" t="str">
        <f t="shared" si="0"/>
        <v>Standard Price</v>
      </c>
      <c r="H29" s="7" t="str">
        <f t="shared" si="1"/>
        <v>16</v>
      </c>
      <c r="I29" s="7" t="str">
        <f t="shared" si="2"/>
        <v>ES</v>
      </c>
      <c r="J29" s="7" t="str">
        <f t="shared" si="3"/>
        <v>APR</v>
      </c>
    </row>
    <row r="30" spans="1:10" ht="15.75" customHeight="1" x14ac:dyDescent="0.2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3" t="str">
        <f t="shared" si="0"/>
        <v>Standard Price</v>
      </c>
      <c r="H30" s="7" t="str">
        <f t="shared" si="1"/>
        <v>07</v>
      </c>
      <c r="I30" s="7" t="str">
        <f t="shared" si="2"/>
        <v>CA</v>
      </c>
      <c r="J30" s="7" t="str">
        <f t="shared" si="3"/>
        <v>MAR</v>
      </c>
    </row>
    <row r="31" spans="1:10" ht="15.75" customHeight="1" x14ac:dyDescent="0.2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3" t="str">
        <f t="shared" si="0"/>
        <v>Standard Price</v>
      </c>
      <c r="H31" s="7" t="str">
        <f t="shared" si="1"/>
        <v>13</v>
      </c>
      <c r="I31" s="7" t="str">
        <f t="shared" si="2"/>
        <v>CA</v>
      </c>
      <c r="J31" s="7" t="str">
        <f t="shared" si="3"/>
        <v>APR</v>
      </c>
    </row>
    <row r="32" spans="1:10" ht="15.75" customHeight="1" x14ac:dyDescent="0.2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3" t="str">
        <f t="shared" si="0"/>
        <v>Standard Price</v>
      </c>
      <c r="H32" s="7" t="str">
        <f t="shared" si="1"/>
        <v>24</v>
      </c>
      <c r="I32" s="7" t="str">
        <f t="shared" si="2"/>
        <v>CA</v>
      </c>
      <c r="J32" s="7" t="str">
        <f t="shared" si="3"/>
        <v>MAY</v>
      </c>
    </row>
    <row r="33" spans="1:10" ht="15.75" customHeight="1" x14ac:dyDescent="0.2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3" t="str">
        <f t="shared" si="0"/>
        <v>Standard Price</v>
      </c>
      <c r="H33" s="7" t="str">
        <f t="shared" si="1"/>
        <v>02</v>
      </c>
      <c r="I33" s="7" t="str">
        <f t="shared" si="2"/>
        <v>CA</v>
      </c>
      <c r="J33" s="7" t="str">
        <f t="shared" si="3"/>
        <v>DEC</v>
      </c>
    </row>
    <row r="34" spans="1:10" ht="15.75" customHeight="1" x14ac:dyDescent="0.2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3" t="str">
        <f t="shared" si="0"/>
        <v>High Price</v>
      </c>
      <c r="H34" s="7" t="str">
        <f t="shared" si="1"/>
        <v>17</v>
      </c>
      <c r="I34" s="7" t="str">
        <f t="shared" si="2"/>
        <v>IN</v>
      </c>
      <c r="J34" s="7" t="str">
        <f t="shared" si="3"/>
        <v>JUN</v>
      </c>
    </row>
    <row r="35" spans="1:10" ht="15.75" customHeight="1" x14ac:dyDescent="0.2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3" t="str">
        <f t="shared" si="0"/>
        <v>Standard Price</v>
      </c>
      <c r="H35" s="7" t="str">
        <f t="shared" si="1"/>
        <v>09</v>
      </c>
      <c r="I35" s="7" t="str">
        <f t="shared" si="2"/>
        <v>FR</v>
      </c>
      <c r="J35" s="7" t="str">
        <f t="shared" si="3"/>
        <v>JUL</v>
      </c>
    </row>
    <row r="36" spans="1:10" ht="15.75" customHeight="1" x14ac:dyDescent="0.2">
      <c r="A36" s="5" t="s">
        <v>94</v>
      </c>
      <c r="B36" s="5">
        <f>COUNTA(D2:D35)</f>
        <v>34</v>
      </c>
      <c r="C36" s="5" t="s">
        <v>93</v>
      </c>
      <c r="D36" s="5">
        <f>SUM(D2:D35)</f>
        <v>10100</v>
      </c>
      <c r="E36" s="5"/>
      <c r="F36" s="5"/>
      <c r="G36" s="7"/>
      <c r="H36" s="7"/>
      <c r="I36" s="7"/>
      <c r="J36" s="7"/>
    </row>
    <row r="37" spans="1:10" ht="15.75" customHeight="1" x14ac:dyDescent="0.2">
      <c r="A37" s="5" t="s">
        <v>95</v>
      </c>
      <c r="B37" s="6">
        <f>AVERAGE(D2:D35)</f>
        <v>297.05882352941177</v>
      </c>
      <c r="C37" s="5"/>
      <c r="D37" s="5"/>
      <c r="E37" s="5"/>
      <c r="F37" s="5"/>
      <c r="G37" s="7"/>
      <c r="H37" s="7"/>
      <c r="I37" s="7"/>
      <c r="J37" s="7"/>
    </row>
    <row r="38" spans="1:10" ht="15.75" customHeight="1" x14ac:dyDescent="0.2">
      <c r="A38" s="5" t="s">
        <v>96</v>
      </c>
      <c r="B38" s="5">
        <f>MIN(D2:D35)</f>
        <v>30</v>
      </c>
      <c r="C38" s="5"/>
      <c r="D38" s="5"/>
      <c r="E38" s="5"/>
      <c r="F38" s="5"/>
      <c r="G38" s="7"/>
      <c r="H38" s="7"/>
      <c r="I38" s="7"/>
      <c r="J38" s="7"/>
    </row>
    <row r="39" spans="1:10" ht="15.75" customHeight="1" x14ac:dyDescent="0.2">
      <c r="A39" s="5" t="s">
        <v>97</v>
      </c>
      <c r="B39" s="5">
        <f>MAX(D2:D35)</f>
        <v>1000</v>
      </c>
      <c r="C39" s="5"/>
      <c r="D39" s="5"/>
      <c r="E39" s="5"/>
      <c r="F39" s="5"/>
      <c r="G39" s="7"/>
      <c r="H39" s="7"/>
      <c r="I39" s="7"/>
      <c r="J39" s="7"/>
    </row>
    <row r="40" spans="1:10" ht="15.75" customHeight="1" x14ac:dyDescent="0.2">
      <c r="A40" s="4" t="s">
        <v>99</v>
      </c>
      <c r="B40" s="4">
        <f>SUMIF(F2:F35,"Electronics",D2:D35)</f>
        <v>8050</v>
      </c>
      <c r="C40" s="4"/>
      <c r="D40" s="4"/>
      <c r="E40" s="4"/>
      <c r="F40" s="4"/>
      <c r="G40" s="7"/>
      <c r="H40" s="7"/>
      <c r="I40" s="7"/>
      <c r="J40" s="7"/>
    </row>
    <row r="41" spans="1:10" ht="15.75" customHeight="1" x14ac:dyDescent="0.2">
      <c r="A41" s="4" t="s">
        <v>100</v>
      </c>
      <c r="B41" s="4">
        <f>COUNTIF(D2:D35,"&lt;100")</f>
        <v>11</v>
      </c>
      <c r="C41" s="4"/>
      <c r="D41" s="4"/>
      <c r="E41" s="4"/>
      <c r="F41" s="4"/>
      <c r="G41" s="7"/>
      <c r="H41" s="7"/>
      <c r="I41" s="7"/>
      <c r="J41" s="7"/>
    </row>
    <row r="42" spans="1:10" ht="15.75" customHeight="1" x14ac:dyDescent="0.2">
      <c r="A42" s="4"/>
      <c r="B42" s="4"/>
      <c r="C42" s="4"/>
      <c r="D42" s="4"/>
      <c r="E42" s="4"/>
      <c r="F42" s="4"/>
      <c r="G42" s="7"/>
      <c r="H42" s="7" t="str">
        <f t="shared" si="1"/>
        <v/>
      </c>
      <c r="I42" s="7" t="str">
        <f t="shared" si="2"/>
        <v/>
      </c>
      <c r="J42" s="7" t="str">
        <f t="shared" si="3"/>
        <v/>
      </c>
    </row>
    <row r="43" spans="1:10" ht="15.75" customHeight="1" x14ac:dyDescent="0.2">
      <c r="A43" s="4"/>
      <c r="B43" s="4"/>
      <c r="C43" s="4"/>
      <c r="D43" s="4"/>
      <c r="E43" s="4"/>
      <c r="F43" s="4"/>
      <c r="G43" s="7"/>
      <c r="H43" s="7" t="str">
        <f t="shared" si="1"/>
        <v/>
      </c>
      <c r="I43" s="7" t="str">
        <f t="shared" si="2"/>
        <v/>
      </c>
      <c r="J43" s="7" t="str">
        <f t="shared" si="3"/>
        <v/>
      </c>
    </row>
    <row r="44" spans="1:10" ht="15.75" customHeight="1" x14ac:dyDescent="0.2">
      <c r="A44" s="4"/>
      <c r="B44" s="4"/>
      <c r="C44" s="4"/>
      <c r="D44" s="4"/>
      <c r="E44" s="4"/>
      <c r="F44" s="4"/>
      <c r="G44" s="7"/>
      <c r="H44" s="7" t="str">
        <f t="shared" si="1"/>
        <v/>
      </c>
      <c r="I44" s="7" t="str">
        <f t="shared" si="2"/>
        <v/>
      </c>
      <c r="J44" s="7" t="str">
        <f t="shared" si="3"/>
        <v/>
      </c>
    </row>
    <row r="45" spans="1:10" ht="15.75" customHeight="1" x14ac:dyDescent="0.2">
      <c r="A45" s="4"/>
      <c r="B45" s="4"/>
      <c r="C45" s="4"/>
      <c r="D45" s="4"/>
      <c r="E45" s="4"/>
      <c r="F45" s="4"/>
      <c r="G45" s="7"/>
      <c r="H45" s="7" t="str">
        <f t="shared" si="1"/>
        <v/>
      </c>
      <c r="I45" s="7" t="str">
        <f t="shared" si="2"/>
        <v/>
      </c>
      <c r="J45" s="7" t="str">
        <f t="shared" si="3"/>
        <v/>
      </c>
    </row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2026-10-25T17:52:52Z</dcterms:modified>
</cp:coreProperties>
</file>